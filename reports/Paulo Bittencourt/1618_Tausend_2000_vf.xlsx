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<sst xmlns="http://schemas.openxmlformats.org/spreadsheetml/2006/main" count="1121" uniqueCount="817">
  <si>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</si>
  <si>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</si>
  <si>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</si>
  <si>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</si>
  <si>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</si>
  <si>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</si>
  <si>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</si>
  <si>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</si>
  <si>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</si>
  <si>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</si>
  <si>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</si>
  <si>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</si>
  <si>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</si>
  <si>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</si>
  <si>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</si>
  <si>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</si>
  <si>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</si>
  <si>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</si>
  <si>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</si>
  <si>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</si>
  <si>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</si>
  <si>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</si>
  <si>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</si>
  <si>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</si>
  <si>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</si>
  <si>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</si>
  <si>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</si>
  <si>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</si>
  <si>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</si>
  <si>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</si>
  <si>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</si>
  <si>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</si>
  <si>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</si>
  <si>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</si>
  <si>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</si>
  <si>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</si>
  <si>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</si>
  <si>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</si>
  <si>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</si>
  <si>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</si>
  <si>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</si>
  <si>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</si>
  <si>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</si>
  <si>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</si>
  <si>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</si>
  <si>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</si>
  <si>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</si>
  <si>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</si>
  <si>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</si>
  <si>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</si>
  <si>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</si>
  <si>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</si>
  <si>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</si>
  <si>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</si>
  <si>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</si>
  <si>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</si>
  <si>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</si>
  <si>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</si>
  <si>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</si>
  <si>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</si>
  <si>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</si>
  <si>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</si>
  <si>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</si>
  <si>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</si>
  <si>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</si>
  <si>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</si>
  <si>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</si>
  <si>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</si>
  <si>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</si>
  <si>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</si>
  <si>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</si>
  <si>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</si>
  <si>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</si>
  <si>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</si>
  <si>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</si>
  <si>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</si>
  <si>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</si>
  <si>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</si>
  <si>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</si>
  <si>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</si>
  <si>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</si>
  <si>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</si>
  <si>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</si>
  <si>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</si>
  <si>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</si>
  <si>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</si>
  <si>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</si>
  <si>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</si>
  <si>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</si>
  <si>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</si>
  <si>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</si>
  <si>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</si>
  <si>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</si>
  <si>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</si>
  <si>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</si>
  <si>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</si>
  <si>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</si>
  <si>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</si>
  <si>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</si>
  <si>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</si>
  <si>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</si>
  <si>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</si>
  <si>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</si>
  <si>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</si>
  <si>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</si>
  <si>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</si>
  <si>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</si>
  <si>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</si>
  <si>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</si>
  <si>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</si>
  <si>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</si>
  <si>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</si>
  <si>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</si>
  <si>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</si>
  <si>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</si>
  <si>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</si>
  <si>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</si>
  <si>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</si>
  <si>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</si>
  <si>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</si>
  <si>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</si>
  <si>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</si>
  <si>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</si>
  <si>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</si>
  <si>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</si>
  <si>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</si>
  <si>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</si>
  <si>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</si>
  <si>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</si>
  <si>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</si>
  <si>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</si>
  <si>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</si>
  <si>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</si>
  <si>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</si>
  <si>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</si>
  <si>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</si>
  <si>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</si>
  <si>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</si>
  <si>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</si>
  <si>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</si>
  <si>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</si>
  <si>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</si>
  <si>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</si>
  <si>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</si>
  <si>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</si>
  <si>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</si>
  <si>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</si>
  <si>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</si>
  <si>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</si>
  <si>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</si>
  <si>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</si>
  <si>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</si>
  <si>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</si>
  <si>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</si>
  <si>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</si>
  <si>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</si>
  <si>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</si>
  <si>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</si>
  <si>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</si>
  <si>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</si>
  <si>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</si>
  <si>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</si>
  <si>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</si>
  <si>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</si>
  <si>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</si>
  <si>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</si>
  <si>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</si>
  <si>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</si>
  <si>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</si>
  <si>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</si>
  <si>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</si>
  <si>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</si>
  <si>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</si>
  <si>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</si>
  <si>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</si>
  <si>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</si>
  <si>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</si>
  <si>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</si>
  <si>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</si>
  <si>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</si>
  <si>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</si>
  <si>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</si>
  <si>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</si>
  <si>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</si>
  <si>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</si>
  <si>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</si>
  <si>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</si>
  <si>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</si>
  <si>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</si>
  <si>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</si>
  <si>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</si>
  <si>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</si>
  <si>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</si>
  <si>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</si>
  <si>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</si>
  <si>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</si>
  <si>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</si>
  <si>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</si>
  <si>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</si>
  <si>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</si>
  <si>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</si>
  <si>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</si>
  <si>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</si>
  <si>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</si>
  <si>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</si>
  <si>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</si>
  <si>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</si>
  <si>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</si>
  <si>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</si>
  <si>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</si>
  <si>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</si>
  <si>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</si>
  <si>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</si>
  <si>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</si>
  <si>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</si>
  <si>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</si>
  <si>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</si>
  <si>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</si>
  <si>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</si>
  <si>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</si>
  <si>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</si>
  <si>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</si>
  <si>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</si>
  <si>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</si>
  <si>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Hawaii State Coffee Trial</t>
  </si>
  <si>
    <t xml:space="preserve">control</t>
  </si>
  <si>
    <t xml:space="preserve">Coffea arabica var typica</t>
  </si>
  <si>
    <t xml:space="preserve">T</t>
  </si>
  <si>
    <t xml:space="preserve">A</t>
  </si>
  <si>
    <t xml:space="preserve">stony silty clay loam</t>
  </si>
  <si>
    <t xml:space="preserve">stand</t>
  </si>
  <si>
    <t xml:space="preserve">mmol m-2 s-1 MPa-1</t>
  </si>
  <si>
    <t xml:space="preserve">SF</t>
  </si>
  <si>
    <t xml:space="preserve">Paulo Bittencourt</t>
  </si>
  <si>
    <t xml:space="preserve">Control of transpiration in three coffee cultivars: the role of hydraulic and crown architecture</t>
  </si>
  <si>
    <t xml:space="preserve">10.1007/PL00009762</t>
  </si>
  <si>
    <t xml:space="preserve">leaf area is total leaf area, not per surface soil unit; values are aggregate on time series and within variety when N=2 </t>
  </si>
  <si>
    <t xml:space="preserve">20% defoliation</t>
  </si>
  <si>
    <t xml:space="preserve">10.1007/PL00009763</t>
  </si>
  <si>
    <t xml:space="preserve">leaf area is total leaf area, not per surface soil unit; values are aggregate on time series and within variety when N=3</t>
  </si>
  <si>
    <t xml:space="preserve">40% defoliation</t>
  </si>
  <si>
    <t xml:space="preserve">10.1007/PL00009764</t>
  </si>
  <si>
    <t xml:space="preserve">leaf area is total leaf area, not per surface soil unit; values are aggregate on time series and within variety when N=4</t>
  </si>
  <si>
    <t xml:space="preserve">Coffea arabica var San Ramon</t>
  </si>
  <si>
    <t xml:space="preserve">10.1007/PL00009765</t>
  </si>
  <si>
    <t xml:space="preserve">leaf area is total leaf area, not per surface soil unit; values are aggregate on time series and within variety when N=5</t>
  </si>
  <si>
    <t xml:space="preserve">10.1007/PL00009766</t>
  </si>
  <si>
    <t xml:space="preserve">leaf area is total leaf area, not per surface soil unit; values are aggregate on time series and within variety when N=6</t>
  </si>
  <si>
    <t xml:space="preserve">10.1007/PL00009767</t>
  </si>
  <si>
    <t xml:space="preserve">leaf area is total leaf area, not per surface soil unit; values are aggregate on time series and within variety when N=7</t>
  </si>
  <si>
    <t xml:space="preserve">Coffea arabica var Yellow Caturra</t>
  </si>
  <si>
    <t xml:space="preserve">10.1007/PL00009768</t>
  </si>
  <si>
    <t xml:space="preserve">leaf area is total leaf area, not per surface soil unit; values are aggregate on time series and within variety when N=8</t>
  </si>
  <si>
    <t xml:space="preserve">10.1007/PL00009769</t>
  </si>
  <si>
    <t xml:space="preserve">leaf area is total leaf area, not per surface soil unit; values are aggregate on time series and within variety when N=9</t>
  </si>
  <si>
    <t xml:space="preserve">10.1007/PL00009770</t>
  </si>
  <si>
    <t xml:space="preserve">leaf area is total leaf area, not per surface soil unit; values are aggregate on time series and within variety when N=10</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</si>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</sst>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8" activeCellId="0" sqref="H18"/>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1618</v>
      </c>
      <c r="B2" s="13" t="s">
        <v>9</v>
      </c>
      <c r="C2" s="13" t="s">
        <v>223</v>
      </c>
      <c r="D2" s="35" t="n">
        <v>21.9</v>
      </c>
      <c r="E2" s="35" t="n">
        <v>-159.56</v>
      </c>
      <c r="F2" s="13" t="n">
        <v>90</v>
      </c>
      <c r="G2" s="13" t="s">
        <v>224</v>
      </c>
      <c r="H2" s="13" t="s">
        <v>225</v>
      </c>
      <c r="I2" s="13"/>
      <c r="J2" s="13" t="s">
        <v>226</v>
      </c>
      <c r="K2" s="13" t="s">
        <v>227</v>
      </c>
      <c r="L2" s="13" t="n">
        <v>9</v>
      </c>
      <c r="M2" s="13" t="n">
        <v>3.7</v>
      </c>
      <c r="O2" s="13"/>
      <c r="Q2" s="13"/>
      <c r="R2" s="13" t="n">
        <v>11.7</v>
      </c>
      <c r="S2" s="13" t="n">
        <f aca="false">39/10000</f>
        <v>0.0039</v>
      </c>
      <c r="T2" s="13"/>
      <c r="U2" s="13" t="n">
        <f aca="false">1/0.3/10000</f>
        <v>0.000333333333333333</v>
      </c>
      <c r="V2" s="13" t="s">
        <v>228</v>
      </c>
      <c r="W2" s="13"/>
      <c r="X2" s="13"/>
      <c r="Y2" s="13"/>
      <c r="Z2" s="13"/>
      <c r="AA2" s="13"/>
      <c r="AB2" s="13"/>
      <c r="AC2" s="13"/>
      <c r="AD2" s="13" t="s">
        <v>229</v>
      </c>
      <c r="AE2" s="13" t="n">
        <v>19960615</v>
      </c>
      <c r="AF2" s="36"/>
      <c r="AG2" s="36"/>
      <c r="AH2" s="13"/>
      <c r="AI2" s="36"/>
      <c r="AJ2" s="36"/>
      <c r="AK2" s="36"/>
      <c r="AL2" s="36"/>
      <c r="AM2" s="13"/>
      <c r="AN2" s="13"/>
      <c r="AO2" s="13"/>
      <c r="AP2" s="13"/>
      <c r="AQ2" s="13" t="s">
        <v>140</v>
      </c>
      <c r="AR2" s="13" t="s">
        <v>230</v>
      </c>
      <c r="AS2" s="13" t="n">
        <v>2</v>
      </c>
      <c r="AT2" s="13" t="n">
        <v>0.84</v>
      </c>
      <c r="AU2" s="13" t="n">
        <v>0.1</v>
      </c>
      <c r="AV2" s="13" t="s">
        <v>231</v>
      </c>
      <c r="AW2" s="37" t="n">
        <f aca="false">AT2/1000*18/1000</f>
        <v>1.512E-005</v>
      </c>
      <c r="AX2" s="37" t="n">
        <f aca="false">AW2/U2</f>
        <v>0.04536</v>
      </c>
      <c r="AY2" s="37" t="n">
        <f aca="false">AW2*R2</f>
        <v>0.000176904</v>
      </c>
      <c r="AZ2" s="37"/>
      <c r="BA2" s="37"/>
      <c r="BB2" s="13" t="s">
        <v>171</v>
      </c>
      <c r="BC2" s="13" t="s">
        <v>232</v>
      </c>
      <c r="BD2" s="13" t="s">
        <v>185</v>
      </c>
      <c r="BE2" s="13"/>
      <c r="BF2" s="13"/>
      <c r="BG2" s="13"/>
      <c r="BH2" s="13"/>
      <c r="BI2" s="13"/>
      <c r="BJ2" s="13"/>
      <c r="BK2" s="13"/>
      <c r="BL2" s="13"/>
      <c r="BM2" s="13"/>
      <c r="BN2" s="13" t="s">
        <v>233</v>
      </c>
      <c r="BO2" s="13" t="s">
        <v>234</v>
      </c>
      <c r="BP2" s="13" t="s">
        <v>235</v>
      </c>
      <c r="BQ2" s="13" t="s">
        <v>236</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t="n">
        <v>1618</v>
      </c>
      <c r="B3" s="13" t="s">
        <v>9</v>
      </c>
      <c r="C3" s="13" t="s">
        <v>223</v>
      </c>
      <c r="D3" s="35" t="n">
        <v>21.9</v>
      </c>
      <c r="E3" s="35" t="n">
        <v>-159.56</v>
      </c>
      <c r="F3" s="13" t="n">
        <v>90</v>
      </c>
      <c r="G3" s="13" t="s">
        <v>224</v>
      </c>
      <c r="H3" s="13" t="s">
        <v>237</v>
      </c>
      <c r="I3" s="13"/>
      <c r="J3" s="13" t="s">
        <v>226</v>
      </c>
      <c r="K3" s="13" t="s">
        <v>227</v>
      </c>
      <c r="L3" s="13" t="n">
        <v>9</v>
      </c>
      <c r="M3" s="13" t="n">
        <v>3.7</v>
      </c>
      <c r="O3" s="13"/>
      <c r="Q3" s="13"/>
      <c r="R3" s="13" t="n">
        <v>11.7</v>
      </c>
      <c r="S3" s="13" t="n">
        <f aca="false">39/10000</f>
        <v>0.0039</v>
      </c>
      <c r="T3" s="13"/>
      <c r="U3" s="13" t="n">
        <f aca="false">1/0.3/10000</f>
        <v>0.000333333333333333</v>
      </c>
      <c r="V3" s="13" t="s">
        <v>228</v>
      </c>
      <c r="W3" s="13"/>
      <c r="X3" s="13"/>
      <c r="Y3" s="13"/>
      <c r="Z3" s="13"/>
      <c r="AA3" s="13"/>
      <c r="AB3" s="13"/>
      <c r="AC3" s="13"/>
      <c r="AD3" s="13" t="s">
        <v>229</v>
      </c>
      <c r="AE3" s="13" t="n">
        <v>19960615</v>
      </c>
      <c r="AF3" s="36"/>
      <c r="AG3" s="36"/>
      <c r="AH3" s="13"/>
      <c r="AI3" s="36"/>
      <c r="AJ3" s="36"/>
      <c r="AK3" s="36"/>
      <c r="AL3" s="36"/>
      <c r="AM3" s="13"/>
      <c r="AN3" s="13"/>
      <c r="AO3" s="13"/>
      <c r="AP3" s="13"/>
      <c r="AQ3" s="13" t="s">
        <v>140</v>
      </c>
      <c r="AR3" s="13" t="s">
        <v>230</v>
      </c>
      <c r="AS3" s="13" t="n">
        <v>1</v>
      </c>
      <c r="AT3" s="13" t="n">
        <v>0.72</v>
      </c>
      <c r="AU3" s="13" t="n">
        <v>0.15</v>
      </c>
      <c r="AV3" s="13" t="s">
        <v>231</v>
      </c>
      <c r="AW3" s="37" t="n">
        <f aca="false">AT3/1000*18/1000</f>
        <v>1.296E-005</v>
      </c>
      <c r="AX3" s="37" t="n">
        <f aca="false">AW3/U3</f>
        <v>0.03888</v>
      </c>
      <c r="AY3" s="37" t="n">
        <f aca="false">AW3*R3</f>
        <v>0.000151632</v>
      </c>
      <c r="AZ3" s="37"/>
      <c r="BA3" s="37"/>
      <c r="BB3" s="13" t="s">
        <v>171</v>
      </c>
      <c r="BC3" s="13" t="s">
        <v>232</v>
      </c>
      <c r="BD3" s="13" t="s">
        <v>185</v>
      </c>
      <c r="BE3" s="13"/>
      <c r="BF3" s="13"/>
      <c r="BG3" s="13"/>
      <c r="BH3" s="13"/>
      <c r="BI3" s="13"/>
      <c r="BJ3" s="13"/>
      <c r="BK3" s="13"/>
      <c r="BL3" s="13"/>
      <c r="BM3" s="13"/>
      <c r="BN3" s="13" t="s">
        <v>233</v>
      </c>
      <c r="BO3" s="13" t="s">
        <v>234</v>
      </c>
      <c r="BP3" s="13" t="s">
        <v>238</v>
      </c>
      <c r="BQ3" s="13" t="s">
        <v>239</v>
      </c>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t="n">
        <v>1618</v>
      </c>
      <c r="B4" s="13" t="s">
        <v>9</v>
      </c>
      <c r="C4" s="13" t="s">
        <v>223</v>
      </c>
      <c r="D4" s="35" t="n">
        <v>21.9</v>
      </c>
      <c r="E4" s="35" t="n">
        <v>-159.56</v>
      </c>
      <c r="F4" s="13" t="n">
        <v>90</v>
      </c>
      <c r="G4" s="13" t="s">
        <v>224</v>
      </c>
      <c r="H4" s="13" t="s">
        <v>240</v>
      </c>
      <c r="I4" s="13"/>
      <c r="J4" s="13" t="s">
        <v>226</v>
      </c>
      <c r="K4" s="13" t="s">
        <v>227</v>
      </c>
      <c r="L4" s="13" t="n">
        <v>9</v>
      </c>
      <c r="M4" s="13" t="n">
        <v>3.7</v>
      </c>
      <c r="O4" s="13"/>
      <c r="Q4" s="13"/>
      <c r="R4" s="13" t="n">
        <v>11.7</v>
      </c>
      <c r="S4" s="13" t="n">
        <f aca="false">39/10000</f>
        <v>0.0039</v>
      </c>
      <c r="T4" s="13"/>
      <c r="U4" s="13" t="n">
        <f aca="false">1/0.3/10000</f>
        <v>0.000333333333333333</v>
      </c>
      <c r="V4" s="13" t="s">
        <v>228</v>
      </c>
      <c r="W4" s="13"/>
      <c r="X4" s="13"/>
      <c r="Y4" s="13"/>
      <c r="Z4" s="13"/>
      <c r="AA4" s="13"/>
      <c r="AB4" s="13"/>
      <c r="AC4" s="13"/>
      <c r="AD4" s="13" t="s">
        <v>229</v>
      </c>
      <c r="AE4" s="13" t="n">
        <v>19960615</v>
      </c>
      <c r="AF4" s="36"/>
      <c r="AG4" s="36"/>
      <c r="AH4" s="13"/>
      <c r="AI4" s="36"/>
      <c r="AJ4" s="36"/>
      <c r="AK4" s="36"/>
      <c r="AL4" s="36"/>
      <c r="AM4" s="13"/>
      <c r="AN4" s="13"/>
      <c r="AO4" s="13"/>
      <c r="AP4" s="13"/>
      <c r="AQ4" s="13" t="s">
        <v>140</v>
      </c>
      <c r="AR4" s="13" t="s">
        <v>230</v>
      </c>
      <c r="AS4" s="13" t="n">
        <v>1</v>
      </c>
      <c r="AT4" s="13" t="n">
        <v>1.18</v>
      </c>
      <c r="AU4" s="13" t="n">
        <v>0.03</v>
      </c>
      <c r="AV4" s="13" t="s">
        <v>231</v>
      </c>
      <c r="AW4" s="37" t="n">
        <f aca="false">AT4/1000*18/1000</f>
        <v>2.124E-005</v>
      </c>
      <c r="AX4" s="37" t="n">
        <f aca="false">AW4/U4</f>
        <v>0.06372</v>
      </c>
      <c r="AY4" s="37" t="n">
        <f aca="false">AW4*R4</f>
        <v>0.000248508</v>
      </c>
      <c r="AZ4" s="37"/>
      <c r="BA4" s="37"/>
      <c r="BB4" s="13" t="s">
        <v>171</v>
      </c>
      <c r="BC4" s="13" t="s">
        <v>232</v>
      </c>
      <c r="BD4" s="13" t="s">
        <v>185</v>
      </c>
      <c r="BE4" s="13"/>
      <c r="BF4" s="13"/>
      <c r="BG4" s="13"/>
      <c r="BH4" s="13"/>
      <c r="BI4" s="13"/>
      <c r="BJ4" s="13"/>
      <c r="BK4" s="13"/>
      <c r="BL4" s="13"/>
      <c r="BM4" s="13"/>
      <c r="BN4" s="13" t="s">
        <v>233</v>
      </c>
      <c r="BO4" s="13" t="s">
        <v>234</v>
      </c>
      <c r="BP4" s="13" t="s">
        <v>241</v>
      </c>
      <c r="BQ4" s="13" t="s">
        <v>242</v>
      </c>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t="n">
        <v>1618</v>
      </c>
      <c r="B5" s="13" t="s">
        <v>9</v>
      </c>
      <c r="C5" s="13" t="s">
        <v>223</v>
      </c>
      <c r="D5" s="35" t="n">
        <v>21.9</v>
      </c>
      <c r="E5" s="35" t="n">
        <v>-159.56</v>
      </c>
      <c r="F5" s="13" t="n">
        <v>90</v>
      </c>
      <c r="G5" s="13" t="s">
        <v>224</v>
      </c>
      <c r="H5" s="13" t="s">
        <v>225</v>
      </c>
      <c r="I5" s="13"/>
      <c r="J5" s="13" t="s">
        <v>243</v>
      </c>
      <c r="K5" s="13" t="s">
        <v>227</v>
      </c>
      <c r="L5" s="13" t="n">
        <v>9</v>
      </c>
      <c r="M5" s="13" t="n">
        <v>1.5</v>
      </c>
      <c r="O5" s="13"/>
      <c r="Q5" s="13"/>
      <c r="R5" s="13" t="n">
        <v>5</v>
      </c>
      <c r="S5" s="13" t="n">
        <f aca="false">13/10000</f>
        <v>0.0013</v>
      </c>
      <c r="T5" s="13"/>
      <c r="U5" s="13" t="n">
        <f aca="false">1/0.42/10000</f>
        <v>0.000238095238095238</v>
      </c>
      <c r="V5" s="13" t="s">
        <v>228</v>
      </c>
      <c r="W5" s="13"/>
      <c r="X5" s="13"/>
      <c r="Y5" s="13"/>
      <c r="Z5" s="13"/>
      <c r="AA5" s="13"/>
      <c r="AB5" s="13"/>
      <c r="AC5" s="13"/>
      <c r="AD5" s="13" t="s">
        <v>229</v>
      </c>
      <c r="AE5" s="13" t="n">
        <v>19960615</v>
      </c>
      <c r="AF5" s="36"/>
      <c r="AG5" s="36"/>
      <c r="AH5" s="13"/>
      <c r="AI5" s="36"/>
      <c r="AJ5" s="36"/>
      <c r="AK5" s="36"/>
      <c r="AL5" s="36"/>
      <c r="AM5" s="13"/>
      <c r="AN5" s="13"/>
      <c r="AO5" s="13"/>
      <c r="AP5" s="13"/>
      <c r="AQ5" s="13" t="s">
        <v>140</v>
      </c>
      <c r="AR5" s="13" t="s">
        <v>230</v>
      </c>
      <c r="AS5" s="13" t="n">
        <v>2</v>
      </c>
      <c r="AT5" s="13" t="n">
        <v>0.75</v>
      </c>
      <c r="AU5" s="13" t="n">
        <v>0.02</v>
      </c>
      <c r="AV5" s="13" t="s">
        <v>231</v>
      </c>
      <c r="AW5" s="37" t="n">
        <f aca="false">AT5/1000*18/1000</f>
        <v>1.35E-005</v>
      </c>
      <c r="AX5" s="37" t="n">
        <f aca="false">AW5/U5</f>
        <v>0.0567</v>
      </c>
      <c r="AY5" s="37" t="n">
        <f aca="false">AW5*R5</f>
        <v>6.75E-005</v>
      </c>
      <c r="AZ5" s="37"/>
      <c r="BA5" s="37"/>
      <c r="BB5" s="13" t="s">
        <v>171</v>
      </c>
      <c r="BC5" s="13" t="s">
        <v>232</v>
      </c>
      <c r="BD5" s="13" t="s">
        <v>185</v>
      </c>
      <c r="BE5" s="13"/>
      <c r="BF5" s="13"/>
      <c r="BG5" s="13"/>
      <c r="BH5" s="13"/>
      <c r="BI5" s="13"/>
      <c r="BJ5" s="13"/>
      <c r="BK5" s="13"/>
      <c r="BL5" s="13"/>
      <c r="BM5" s="13"/>
      <c r="BN5" s="13" t="s">
        <v>233</v>
      </c>
      <c r="BO5" s="13" t="s">
        <v>234</v>
      </c>
      <c r="BP5" s="13" t="s">
        <v>244</v>
      </c>
      <c r="BQ5" s="13" t="s">
        <v>245</v>
      </c>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t="n">
        <v>1618</v>
      </c>
      <c r="B6" s="13" t="s">
        <v>9</v>
      </c>
      <c r="C6" s="13" t="s">
        <v>223</v>
      </c>
      <c r="D6" s="35" t="n">
        <v>21.9</v>
      </c>
      <c r="E6" s="35" t="n">
        <v>-159.56</v>
      </c>
      <c r="F6" s="13" t="n">
        <v>90</v>
      </c>
      <c r="G6" s="13" t="s">
        <v>224</v>
      </c>
      <c r="H6" s="13" t="s">
        <v>237</v>
      </c>
      <c r="I6" s="13"/>
      <c r="J6" s="13" t="s">
        <v>243</v>
      </c>
      <c r="K6" s="13" t="s">
        <v>227</v>
      </c>
      <c r="L6" s="13" t="n">
        <v>9</v>
      </c>
      <c r="M6" s="13" t="n">
        <v>1.5</v>
      </c>
      <c r="O6" s="13"/>
      <c r="Q6" s="13"/>
      <c r="R6" s="13" t="n">
        <v>5</v>
      </c>
      <c r="S6" s="13" t="n">
        <f aca="false">13/10000</f>
        <v>0.0013</v>
      </c>
      <c r="T6" s="13"/>
      <c r="U6" s="13" t="n">
        <f aca="false">1/0.42/10000</f>
        <v>0.000238095238095238</v>
      </c>
      <c r="V6" s="13" t="s">
        <v>228</v>
      </c>
      <c r="W6" s="13"/>
      <c r="X6" s="13"/>
      <c r="Y6" s="13"/>
      <c r="Z6" s="13"/>
      <c r="AA6" s="13"/>
      <c r="AB6" s="13"/>
      <c r="AC6" s="13"/>
      <c r="AD6" s="13" t="s">
        <v>229</v>
      </c>
      <c r="AE6" s="13" t="n">
        <v>19960615</v>
      </c>
      <c r="AF6" s="36"/>
      <c r="AG6" s="36"/>
      <c r="AH6" s="13"/>
      <c r="AI6" s="36"/>
      <c r="AJ6" s="36"/>
      <c r="AK6" s="36"/>
      <c r="AL6" s="36"/>
      <c r="AM6" s="13"/>
      <c r="AN6" s="13"/>
      <c r="AO6" s="13"/>
      <c r="AP6" s="13"/>
      <c r="AQ6" s="13" t="s">
        <v>140</v>
      </c>
      <c r="AR6" s="13" t="s">
        <v>230</v>
      </c>
      <c r="AS6" s="13" t="n">
        <v>1</v>
      </c>
      <c r="AT6" s="13" t="n">
        <v>0.82</v>
      </c>
      <c r="AU6" s="13" t="n">
        <v>0.11</v>
      </c>
      <c r="AV6" s="13" t="s">
        <v>231</v>
      </c>
      <c r="AW6" s="37" t="n">
        <f aca="false">AT6/1000*18/1000</f>
        <v>1.476E-005</v>
      </c>
      <c r="AX6" s="37" t="n">
        <f aca="false">AW6/U6</f>
        <v>0.061992</v>
      </c>
      <c r="AY6" s="37" t="n">
        <f aca="false">AW6*R6</f>
        <v>7.38E-005</v>
      </c>
      <c r="AZ6" s="37"/>
      <c r="BA6" s="37"/>
      <c r="BB6" s="13" t="s">
        <v>171</v>
      </c>
      <c r="BC6" s="13" t="s">
        <v>232</v>
      </c>
      <c r="BD6" s="13" t="s">
        <v>185</v>
      </c>
      <c r="BE6" s="13"/>
      <c r="BF6" s="13"/>
      <c r="BG6" s="13"/>
      <c r="BH6" s="13"/>
      <c r="BI6" s="13"/>
      <c r="BJ6" s="13"/>
      <c r="BK6" s="13"/>
      <c r="BL6" s="13"/>
      <c r="BM6" s="13"/>
      <c r="BN6" s="13" t="s">
        <v>233</v>
      </c>
      <c r="BO6" s="13" t="s">
        <v>234</v>
      </c>
      <c r="BP6" s="13" t="s">
        <v>246</v>
      </c>
      <c r="BQ6" s="13" t="s">
        <v>247</v>
      </c>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t="n">
        <v>1618</v>
      </c>
      <c r="B7" s="13" t="s">
        <v>9</v>
      </c>
      <c r="C7" s="13" t="s">
        <v>223</v>
      </c>
      <c r="D7" s="35" t="n">
        <v>21.9</v>
      </c>
      <c r="E7" s="35" t="n">
        <v>-159.56</v>
      </c>
      <c r="F7" s="13" t="n">
        <v>90</v>
      </c>
      <c r="G7" s="13" t="s">
        <v>224</v>
      </c>
      <c r="H7" s="13" t="s">
        <v>240</v>
      </c>
      <c r="I7" s="13"/>
      <c r="J7" s="13" t="s">
        <v>243</v>
      </c>
      <c r="K7" s="13" t="s">
        <v>227</v>
      </c>
      <c r="L7" s="13" t="n">
        <v>9</v>
      </c>
      <c r="M7" s="13" t="n">
        <v>1.5</v>
      </c>
      <c r="O7" s="13"/>
      <c r="Q7" s="13"/>
      <c r="R7" s="13" t="n">
        <v>5</v>
      </c>
      <c r="S7" s="13" t="n">
        <f aca="false">13/10000</f>
        <v>0.0013</v>
      </c>
      <c r="T7" s="13"/>
      <c r="U7" s="13" t="n">
        <f aca="false">1/0.42/10000</f>
        <v>0.000238095238095238</v>
      </c>
      <c r="V7" s="13" t="s">
        <v>228</v>
      </c>
      <c r="W7" s="13"/>
      <c r="X7" s="13"/>
      <c r="Y7" s="13"/>
      <c r="Z7" s="13"/>
      <c r="AA7" s="13"/>
      <c r="AB7" s="13"/>
      <c r="AC7" s="13"/>
      <c r="AD7" s="13" t="s">
        <v>229</v>
      </c>
      <c r="AE7" s="13" t="n">
        <v>19960615</v>
      </c>
      <c r="AF7" s="36"/>
      <c r="AG7" s="36"/>
      <c r="AH7" s="13"/>
      <c r="AI7" s="36"/>
      <c r="AJ7" s="36"/>
      <c r="AK7" s="36"/>
      <c r="AL7" s="36"/>
      <c r="AM7" s="13"/>
      <c r="AN7" s="13"/>
      <c r="AO7" s="13"/>
      <c r="AP7" s="13"/>
      <c r="AQ7" s="13" t="s">
        <v>140</v>
      </c>
      <c r="AR7" s="13" t="s">
        <v>230</v>
      </c>
      <c r="AS7" s="13" t="n">
        <v>1</v>
      </c>
      <c r="AT7" s="13" t="n">
        <v>0.64</v>
      </c>
      <c r="AU7" s="13" t="n">
        <v>0.08</v>
      </c>
      <c r="AV7" s="13" t="s">
        <v>231</v>
      </c>
      <c r="AW7" s="37" t="n">
        <f aca="false">AT7/1000*18/1000</f>
        <v>1.152E-005</v>
      </c>
      <c r="AX7" s="37" t="n">
        <f aca="false">AW7/U7</f>
        <v>0.048384</v>
      </c>
      <c r="AY7" s="37" t="n">
        <f aca="false">AW7*R7</f>
        <v>5.76E-005</v>
      </c>
      <c r="AZ7" s="37"/>
      <c r="BA7" s="37"/>
      <c r="BB7" s="13" t="s">
        <v>171</v>
      </c>
      <c r="BC7" s="13" t="s">
        <v>232</v>
      </c>
      <c r="BD7" s="13" t="s">
        <v>185</v>
      </c>
      <c r="BE7" s="13"/>
      <c r="BF7" s="13"/>
      <c r="BG7" s="13"/>
      <c r="BH7" s="13"/>
      <c r="BI7" s="13"/>
      <c r="BJ7" s="13"/>
      <c r="BK7" s="13"/>
      <c r="BL7" s="13"/>
      <c r="BM7" s="13"/>
      <c r="BN7" s="13" t="s">
        <v>233</v>
      </c>
      <c r="BO7" s="13" t="s">
        <v>234</v>
      </c>
      <c r="BP7" s="13" t="s">
        <v>248</v>
      </c>
      <c r="BQ7" s="13" t="s">
        <v>249</v>
      </c>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t="n">
        <v>1618</v>
      </c>
      <c r="B8" s="13" t="s">
        <v>9</v>
      </c>
      <c r="C8" s="13" t="s">
        <v>223</v>
      </c>
      <c r="D8" s="35" t="n">
        <v>21.9</v>
      </c>
      <c r="E8" s="35" t="n">
        <v>-159.56</v>
      </c>
      <c r="F8" s="13" t="n">
        <v>90</v>
      </c>
      <c r="G8" s="39" t="s">
        <v>224</v>
      </c>
      <c r="H8" s="39" t="s">
        <v>225</v>
      </c>
      <c r="I8" s="39"/>
      <c r="J8" s="39" t="s">
        <v>250</v>
      </c>
      <c r="K8" s="13" t="s">
        <v>227</v>
      </c>
      <c r="L8" s="13" t="n">
        <v>9</v>
      </c>
      <c r="M8" s="13" t="n">
        <v>2</v>
      </c>
      <c r="O8" s="13"/>
      <c r="Q8" s="13"/>
      <c r="R8" s="13" t="n">
        <v>18</v>
      </c>
      <c r="S8" s="13" t="n">
        <f aca="false">37/10000</f>
        <v>0.0037</v>
      </c>
      <c r="T8" s="13"/>
      <c r="U8" s="13" t="n">
        <f aca="false">1/0.49/10000</f>
        <v>0.000204081632653061</v>
      </c>
      <c r="V8" s="13" t="s">
        <v>228</v>
      </c>
      <c r="W8" s="13"/>
      <c r="X8" s="13"/>
      <c r="Y8" s="13"/>
      <c r="Z8" s="13"/>
      <c r="AA8" s="13"/>
      <c r="AB8" s="13"/>
      <c r="AC8" s="13"/>
      <c r="AD8" s="13" t="s">
        <v>229</v>
      </c>
      <c r="AE8" s="13" t="n">
        <v>19960615</v>
      </c>
      <c r="AF8" s="36"/>
      <c r="AG8" s="36"/>
      <c r="AH8" s="13"/>
      <c r="AI8" s="36"/>
      <c r="AJ8" s="36"/>
      <c r="AK8" s="36"/>
      <c r="AL8" s="36"/>
      <c r="AM8" s="13"/>
      <c r="AN8" s="13"/>
      <c r="AO8" s="13"/>
      <c r="AP8" s="13"/>
      <c r="AQ8" s="13" t="s">
        <v>140</v>
      </c>
      <c r="AR8" s="13" t="s">
        <v>230</v>
      </c>
      <c r="AS8" s="13" t="n">
        <v>2</v>
      </c>
      <c r="AT8" s="13" t="n">
        <v>0.37</v>
      </c>
      <c r="AU8" s="13" t="n">
        <v>0</v>
      </c>
      <c r="AV8" s="13" t="s">
        <v>231</v>
      </c>
      <c r="AW8" s="37" t="n">
        <f aca="false">AT8/1000*18/1000</f>
        <v>6.66E-006</v>
      </c>
      <c r="AX8" s="37" t="n">
        <f aca="false">AW8/U8</f>
        <v>0.032634</v>
      </c>
      <c r="AY8" s="37" t="n">
        <f aca="false">AW8*R8</f>
        <v>0.00011988</v>
      </c>
      <c r="AZ8" s="37"/>
      <c r="BA8" s="37"/>
      <c r="BB8" s="13" t="s">
        <v>171</v>
      </c>
      <c r="BC8" s="13" t="s">
        <v>232</v>
      </c>
      <c r="BD8" s="13" t="s">
        <v>185</v>
      </c>
      <c r="BE8" s="13"/>
      <c r="BF8" s="13"/>
      <c r="BG8" s="13"/>
      <c r="BH8" s="13"/>
      <c r="BI8" s="13"/>
      <c r="BJ8" s="13"/>
      <c r="BK8" s="13"/>
      <c r="BL8" s="13"/>
      <c r="BM8" s="13"/>
      <c r="BN8" s="13" t="s">
        <v>233</v>
      </c>
      <c r="BO8" s="13" t="s">
        <v>234</v>
      </c>
      <c r="BP8" s="13" t="s">
        <v>251</v>
      </c>
      <c r="BQ8" s="13" t="s">
        <v>252</v>
      </c>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t="n">
        <v>1618</v>
      </c>
      <c r="B9" s="13" t="s">
        <v>9</v>
      </c>
      <c r="C9" s="13" t="s">
        <v>223</v>
      </c>
      <c r="D9" s="35" t="n">
        <v>21.9</v>
      </c>
      <c r="E9" s="35" t="n">
        <v>-159.56</v>
      </c>
      <c r="F9" s="13" t="n">
        <v>90</v>
      </c>
      <c r="G9" s="39" t="s">
        <v>224</v>
      </c>
      <c r="H9" s="39" t="s">
        <v>237</v>
      </c>
      <c r="I9" s="39"/>
      <c r="J9" s="39" t="s">
        <v>250</v>
      </c>
      <c r="K9" s="13" t="s">
        <v>227</v>
      </c>
      <c r="L9" s="13" t="n">
        <v>9</v>
      </c>
      <c r="M9" s="13" t="n">
        <v>2</v>
      </c>
      <c r="O9" s="13"/>
      <c r="Q9" s="13"/>
      <c r="R9" s="13" t="n">
        <v>18</v>
      </c>
      <c r="S9" s="13" t="n">
        <f aca="false">37/10000</f>
        <v>0.0037</v>
      </c>
      <c r="T9" s="13"/>
      <c r="U9" s="13" t="n">
        <f aca="false">1/0.49/10000</f>
        <v>0.000204081632653061</v>
      </c>
      <c r="V9" s="13" t="s">
        <v>228</v>
      </c>
      <c r="W9" s="13"/>
      <c r="X9" s="13"/>
      <c r="Y9" s="13"/>
      <c r="Z9" s="13"/>
      <c r="AA9" s="13"/>
      <c r="AB9" s="13"/>
      <c r="AC9" s="13"/>
      <c r="AD9" s="13" t="s">
        <v>229</v>
      </c>
      <c r="AE9" s="13" t="n">
        <v>19960615</v>
      </c>
      <c r="AF9" s="36"/>
      <c r="AG9" s="36"/>
      <c r="AH9" s="13"/>
      <c r="AI9" s="36"/>
      <c r="AJ9" s="36"/>
      <c r="AK9" s="36"/>
      <c r="AL9" s="36"/>
      <c r="AM9" s="13"/>
      <c r="AN9" s="13"/>
      <c r="AO9" s="13"/>
      <c r="AP9" s="13"/>
      <c r="AQ9" s="13" t="s">
        <v>140</v>
      </c>
      <c r="AR9" s="13" t="s">
        <v>230</v>
      </c>
      <c r="AS9" s="13" t="n">
        <v>1</v>
      </c>
      <c r="AT9" s="13" t="n">
        <v>0.34</v>
      </c>
      <c r="AU9" s="13" t="n">
        <v>0.04</v>
      </c>
      <c r="AV9" s="13" t="s">
        <v>231</v>
      </c>
      <c r="AW9" s="37" t="n">
        <f aca="false">AT9/1000*18/1000</f>
        <v>6.12E-006</v>
      </c>
      <c r="AX9" s="37" t="n">
        <f aca="false">AW9/U9</f>
        <v>0.029988</v>
      </c>
      <c r="AY9" s="37" t="n">
        <f aca="false">AW9*R9</f>
        <v>0.00011016</v>
      </c>
      <c r="AZ9" s="37"/>
      <c r="BA9" s="37"/>
      <c r="BB9" s="13" t="s">
        <v>171</v>
      </c>
      <c r="BC9" s="13" t="s">
        <v>232</v>
      </c>
      <c r="BD9" s="13" t="s">
        <v>185</v>
      </c>
      <c r="BE9" s="13"/>
      <c r="BF9" s="13"/>
      <c r="BG9" s="13"/>
      <c r="BH9" s="13"/>
      <c r="BI9" s="13"/>
      <c r="BJ9" s="13"/>
      <c r="BK9" s="13"/>
      <c r="BL9" s="13"/>
      <c r="BM9" s="13"/>
      <c r="BN9" s="13" t="s">
        <v>233</v>
      </c>
      <c r="BO9" s="13" t="s">
        <v>234</v>
      </c>
      <c r="BP9" s="13" t="s">
        <v>253</v>
      </c>
      <c r="BQ9" s="13" t="s">
        <v>254</v>
      </c>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t="n">
        <v>1618</v>
      </c>
      <c r="B10" s="13" t="s">
        <v>9</v>
      </c>
      <c r="C10" s="13" t="s">
        <v>223</v>
      </c>
      <c r="D10" s="35" t="n">
        <v>21.9</v>
      </c>
      <c r="E10" s="35" t="n">
        <v>-159.56</v>
      </c>
      <c r="F10" s="13" t="n">
        <v>90</v>
      </c>
      <c r="G10" s="40" t="s">
        <v>224</v>
      </c>
      <c r="H10" s="40" t="s">
        <v>240</v>
      </c>
      <c r="I10" s="40"/>
      <c r="J10" s="40" t="s">
        <v>250</v>
      </c>
      <c r="K10" s="13" t="s">
        <v>227</v>
      </c>
      <c r="L10" s="13" t="n">
        <v>9</v>
      </c>
      <c r="M10" s="13" t="n">
        <v>2</v>
      </c>
      <c r="O10" s="13"/>
      <c r="Q10" s="13"/>
      <c r="R10" s="35" t="n">
        <v>18</v>
      </c>
      <c r="S10" s="13" t="n">
        <f aca="false">37/10000</f>
        <v>0.0037</v>
      </c>
      <c r="T10" s="13"/>
      <c r="U10" s="13" t="n">
        <f aca="false">1/0.49/10000</f>
        <v>0.000204081632653061</v>
      </c>
      <c r="V10" s="13" t="s">
        <v>228</v>
      </c>
      <c r="W10" s="13"/>
      <c r="X10" s="13"/>
      <c r="Y10" s="13"/>
      <c r="Z10" s="13"/>
      <c r="AA10" s="13"/>
      <c r="AB10" s="13"/>
      <c r="AC10" s="13"/>
      <c r="AD10" s="13" t="s">
        <v>229</v>
      </c>
      <c r="AE10" s="13" t="n">
        <v>19960615</v>
      </c>
      <c r="AF10" s="36"/>
      <c r="AG10" s="36"/>
      <c r="AH10" s="13"/>
      <c r="AI10" s="36"/>
      <c r="AJ10" s="36"/>
      <c r="AK10" s="36"/>
      <c r="AL10" s="36"/>
      <c r="AM10" s="13"/>
      <c r="AN10" s="13"/>
      <c r="AO10" s="13"/>
      <c r="AP10" s="13"/>
      <c r="AQ10" s="13" t="s">
        <v>140</v>
      </c>
      <c r="AR10" s="13" t="s">
        <v>230</v>
      </c>
      <c r="AS10" s="13" t="n">
        <v>1</v>
      </c>
      <c r="AT10" s="35" t="n">
        <v>0.32</v>
      </c>
      <c r="AU10" s="35" t="n">
        <v>0.01</v>
      </c>
      <c r="AV10" s="13" t="s">
        <v>231</v>
      </c>
      <c r="AW10" s="37" t="n">
        <f aca="false">AT10/1000*18/1000</f>
        <v>5.76E-006</v>
      </c>
      <c r="AX10" s="37" t="n">
        <f aca="false">AW10/U10</f>
        <v>0.028224</v>
      </c>
      <c r="AY10" s="37" t="n">
        <f aca="false">AW10*R10</f>
        <v>0.00010368</v>
      </c>
      <c r="AZ10" s="37"/>
      <c r="BA10" s="37"/>
      <c r="BB10" s="13" t="s">
        <v>171</v>
      </c>
      <c r="BC10" s="13" t="s">
        <v>232</v>
      </c>
      <c r="BD10" s="13" t="s">
        <v>185</v>
      </c>
      <c r="BE10" s="13"/>
      <c r="BF10" s="13"/>
      <c r="BG10" s="13"/>
      <c r="BH10" s="13"/>
      <c r="BI10" s="13"/>
      <c r="BJ10" s="13"/>
      <c r="BK10" s="13"/>
      <c r="BL10" s="13"/>
      <c r="BM10" s="13"/>
      <c r="BN10" s="13" t="s">
        <v>233</v>
      </c>
      <c r="BO10" s="13" t="s">
        <v>234</v>
      </c>
      <c r="BP10" s="13" t="s">
        <v>255</v>
      </c>
      <c r="BQ10" s="13" t="s">
        <v>256</v>
      </c>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36"/>
      <c r="AG11" s="36"/>
      <c r="AH11" s="13"/>
      <c r="AI11" s="36"/>
      <c r="AJ11" s="36"/>
      <c r="AK11" s="36"/>
      <c r="AL11" s="36"/>
      <c r="AM11" s="13"/>
      <c r="AN11" s="13"/>
      <c r="AO11" s="13"/>
      <c r="AP11" s="13"/>
      <c r="AQ11" s="13"/>
      <c r="AR11" s="13"/>
      <c r="AS11" s="13"/>
      <c r="AT11" s="35"/>
      <c r="AU11" s="35"/>
      <c r="AV11" s="13"/>
      <c r="AW11" s="37"/>
      <c r="AX11" s="37"/>
      <c r="AY11" s="37"/>
      <c r="AZ11" s="37"/>
      <c r="BA11" s="37"/>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36"/>
      <c r="AG12" s="36"/>
      <c r="AH12" s="13"/>
      <c r="AI12" s="36"/>
      <c r="AJ12" s="36"/>
      <c r="AK12" s="36"/>
      <c r="AL12" s="36"/>
      <c r="AM12" s="13"/>
      <c r="AN12" s="13"/>
      <c r="AO12" s="13"/>
      <c r="AP12" s="13"/>
      <c r="AQ12" s="13"/>
      <c r="AR12" s="13"/>
      <c r="AS12" s="13"/>
      <c r="AT12" s="35"/>
      <c r="AU12" s="35"/>
      <c r="AV12" s="13"/>
      <c r="AW12" s="37"/>
      <c r="AX12" s="37"/>
      <c r="AY12" s="37"/>
      <c r="AZ12" s="37"/>
      <c r="BA12" s="37"/>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36"/>
      <c r="AG13" s="36"/>
      <c r="AH13" s="13"/>
      <c r="AI13" s="36"/>
      <c r="AJ13" s="36"/>
      <c r="AK13" s="36"/>
      <c r="AL13" s="36"/>
      <c r="AM13" s="13"/>
      <c r="AN13" s="13"/>
      <c r="AO13" s="13"/>
      <c r="AP13" s="13"/>
      <c r="AQ13" s="13"/>
      <c r="AR13" s="13"/>
      <c r="AS13" s="13"/>
      <c r="AT13" s="35"/>
      <c r="AU13" s="35"/>
      <c r="AV13" s="13"/>
      <c r="AW13" s="37"/>
      <c r="AX13" s="37"/>
      <c r="AY13" s="37"/>
      <c r="AZ13" s="37"/>
      <c r="BA13" s="37"/>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36"/>
      <c r="AG14" s="36"/>
      <c r="AH14" s="13"/>
      <c r="AI14" s="36"/>
      <c r="AJ14" s="36"/>
      <c r="AK14" s="36"/>
      <c r="AL14" s="36"/>
      <c r="AM14" s="13"/>
      <c r="AN14" s="13"/>
      <c r="AO14" s="13"/>
      <c r="AP14" s="13"/>
      <c r="AQ14" s="13"/>
      <c r="AR14" s="13"/>
      <c r="AS14" s="13"/>
      <c r="AT14" s="35"/>
      <c r="AU14" s="35"/>
      <c r="AV14" s="13"/>
      <c r="AW14" s="37"/>
      <c r="AX14" s="37"/>
      <c r="AY14" s="37"/>
      <c r="AZ14" s="37"/>
      <c r="BA14" s="37"/>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36"/>
      <c r="AG15" s="36"/>
      <c r="AH15" s="13"/>
      <c r="AI15" s="36"/>
      <c r="AJ15" s="36"/>
      <c r="AK15" s="36"/>
      <c r="AL15" s="36"/>
      <c r="AM15" s="13"/>
      <c r="AN15" s="13"/>
      <c r="AO15" s="13"/>
      <c r="AP15" s="13"/>
      <c r="AQ15" s="13"/>
      <c r="AR15" s="13"/>
      <c r="AS15" s="13"/>
      <c r="AT15" s="35"/>
      <c r="AU15" s="35"/>
      <c r="AV15" s="13"/>
      <c r="AW15" s="37"/>
      <c r="AX15" s="37"/>
      <c r="AY15" s="37"/>
      <c r="AZ15" s="37"/>
      <c r="BA15" s="37"/>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36"/>
      <c r="AG16" s="36"/>
      <c r="AH16" s="13"/>
      <c r="AI16" s="36"/>
      <c r="AJ16" s="36"/>
      <c r="AK16" s="36"/>
      <c r="AL16" s="36"/>
      <c r="AM16" s="13"/>
      <c r="AN16" s="13"/>
      <c r="AO16" s="13"/>
      <c r="AP16" s="13"/>
      <c r="AQ16" s="13"/>
      <c r="AR16" s="13"/>
      <c r="AS16" s="13"/>
      <c r="AT16" s="35"/>
      <c r="AU16" s="35"/>
      <c r="AV16" s="13"/>
      <c r="AW16" s="37"/>
      <c r="AX16" s="37"/>
      <c r="AY16" s="37"/>
      <c r="AZ16" s="37"/>
      <c r="BA16" s="37"/>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36"/>
      <c r="AG17" s="36"/>
      <c r="AH17" s="13"/>
      <c r="AI17" s="36"/>
      <c r="AJ17" s="36"/>
      <c r="AK17" s="36"/>
      <c r="AL17" s="36"/>
      <c r="AM17" s="13"/>
      <c r="AN17" s="13"/>
      <c r="AO17" s="13"/>
      <c r="AP17" s="13"/>
      <c r="AQ17" s="13"/>
      <c r="AR17" s="13"/>
      <c r="AS17" s="13"/>
      <c r="AT17" s="35"/>
      <c r="AU17" s="35"/>
      <c r="AV17" s="13"/>
      <c r="AW17" s="37"/>
      <c r="AX17" s="37"/>
      <c r="AY17" s="37"/>
      <c r="AZ17" s="37"/>
      <c r="BA17" s="37"/>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36"/>
      <c r="AG18" s="36"/>
      <c r="AH18" s="13"/>
      <c r="AI18" s="36"/>
      <c r="AJ18" s="36"/>
      <c r="AK18" s="36"/>
      <c r="AL18" s="36"/>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36"/>
      <c r="AG220" s="36"/>
      <c r="AH220" s="13"/>
      <c r="AI220" s="36"/>
      <c r="AJ220" s="36"/>
      <c r="AK220" s="36"/>
      <c r="AL220" s="36"/>
      <c r="AM220" s="13"/>
      <c r="AN220" s="13"/>
      <c r="AO220" s="13"/>
      <c r="AP220" s="13"/>
      <c r="AQ220" s="13"/>
      <c r="AR220" s="13"/>
      <c r="AS220" s="13"/>
      <c r="AT220" s="13"/>
      <c r="AU220" s="13"/>
      <c r="AV220" s="13"/>
      <c r="AW220" s="37"/>
      <c r="AX220" s="37"/>
      <c r="AY220" s="37"/>
      <c r="AZ220" s="37"/>
      <c r="BA220" s="37"/>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row>
  </sheetData>
  <dataValidations count="14">
    <dataValidation allowBlank="true" errorStyle="stop" operator="between" prompt="LAI method - Method used for leaf area index estimation" showDropDown="false" showErrorMessage="true" showInputMessage="true" sqref="Q2:Q10 Q11: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257</v>
      </c>
      <c r="M1" s="41" t="s">
        <v>258</v>
      </c>
      <c r="N1" s="13"/>
      <c r="O1" s="13"/>
      <c r="P1" s="13"/>
      <c r="Q1" s="13"/>
      <c r="R1" s="13"/>
      <c r="S1" s="13"/>
      <c r="T1" s="13"/>
      <c r="U1" s="13"/>
      <c r="V1" s="13"/>
      <c r="W1" s="13"/>
      <c r="X1" s="13"/>
      <c r="Y1" s="13"/>
      <c r="Z1" s="13"/>
    </row>
    <row r="2" customFormat="false" ht="12.75" hidden="false" customHeight="true" outlineLevel="0" collapsed="false">
      <c r="A2" s="42" t="s">
        <v>259</v>
      </c>
      <c r="B2" s="43" t="s">
        <v>260</v>
      </c>
      <c r="C2" s="43"/>
      <c r="D2" s="43"/>
      <c r="E2" s="44"/>
      <c r="F2" s="45"/>
      <c r="G2" s="45"/>
      <c r="H2" s="45"/>
      <c r="I2" s="45"/>
      <c r="J2" s="13"/>
      <c r="K2" s="13"/>
      <c r="L2" s="46" t="s">
        <v>261</v>
      </c>
      <c r="M2" s="47" t="s">
        <v>262</v>
      </c>
      <c r="N2" s="13"/>
      <c r="O2" s="13"/>
      <c r="P2" s="13"/>
      <c r="Q2" s="13"/>
      <c r="R2" s="13"/>
      <c r="S2" s="13"/>
      <c r="T2" s="13"/>
      <c r="U2" s="13"/>
      <c r="V2" s="13"/>
      <c r="W2" s="13"/>
      <c r="X2" s="13"/>
      <c r="Y2" s="13"/>
      <c r="Z2" s="13"/>
    </row>
    <row r="3" customFormat="false" ht="12.75" hidden="false" customHeight="true" outlineLevel="0" collapsed="false">
      <c r="A3" s="48" t="s">
        <v>263</v>
      </c>
      <c r="B3" s="48"/>
      <c r="C3" s="48"/>
      <c r="D3" s="48"/>
      <c r="E3" s="49"/>
      <c r="F3" s="49"/>
      <c r="G3" s="49"/>
      <c r="H3" s="49"/>
      <c r="I3" s="49"/>
      <c r="J3" s="13"/>
      <c r="K3" s="13"/>
      <c r="L3" s="46" t="s">
        <v>264</v>
      </c>
      <c r="M3" s="47" t="s">
        <v>265</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266</v>
      </c>
      <c r="M4" s="47" t="s">
        <v>267</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268</v>
      </c>
      <c r="G5" s="51"/>
      <c r="H5" s="51"/>
      <c r="I5" s="51"/>
      <c r="J5" s="13"/>
      <c r="K5" s="13"/>
      <c r="L5" s="46" t="s">
        <v>269</v>
      </c>
      <c r="M5" s="47" t="s">
        <v>270</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271</v>
      </c>
      <c r="M6" s="47" t="s">
        <v>272</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273</v>
      </c>
      <c r="G7" s="53"/>
      <c r="H7" s="53"/>
      <c r="I7" s="54" t="s">
        <v>274</v>
      </c>
      <c r="J7" s="13"/>
      <c r="K7" s="13"/>
      <c r="L7" s="46" t="s">
        <v>275</v>
      </c>
      <c r="M7" s="47" t="s">
        <v>276</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277</v>
      </c>
      <c r="G8" s="54" t="s">
        <v>278</v>
      </c>
      <c r="H8" s="54" t="s">
        <v>279</v>
      </c>
      <c r="I8" s="54" t="s">
        <v>280</v>
      </c>
      <c r="J8" s="13"/>
      <c r="K8" s="13"/>
      <c r="L8" s="46" t="s">
        <v>281</v>
      </c>
      <c r="M8" s="47" t="s">
        <v>282</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283</v>
      </c>
      <c r="F9" s="55" t="n">
        <v>21</v>
      </c>
      <c r="G9" s="55" t="n">
        <v>0</v>
      </c>
      <c r="H9" s="55" t="n">
        <v>54</v>
      </c>
      <c r="I9" s="56" t="n">
        <f aca="false">tools!F9+tools!G9/60+tools!H9/3600</f>
        <v>21.015</v>
      </c>
      <c r="J9" s="13"/>
      <c r="K9" s="13"/>
      <c r="L9" s="46" t="s">
        <v>284</v>
      </c>
      <c r="M9" s="47" t="s">
        <v>285</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286</v>
      </c>
      <c r="F10" s="55" t="n">
        <v>-154</v>
      </c>
      <c r="G10" s="55" t="n">
        <v>0</v>
      </c>
      <c r="H10" s="55" t="n">
        <v>33</v>
      </c>
      <c r="I10" s="56" t="n">
        <f aca="false">tools!F10+tools!G10/60+tools!H10/3600</f>
        <v>-153.990833333333</v>
      </c>
      <c r="J10" s="13"/>
      <c r="K10" s="13"/>
      <c r="L10" s="46" t="s">
        <v>287</v>
      </c>
      <c r="M10" s="47" t="s">
        <v>288</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289</v>
      </c>
      <c r="M11" s="47" t="s">
        <v>290</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291</v>
      </c>
      <c r="M12" s="47" t="s">
        <v>292</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293</v>
      </c>
      <c r="M13" s="47" t="s">
        <v>294</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295</v>
      </c>
      <c r="M14" s="47" t="s">
        <v>296</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297</v>
      </c>
      <c r="M15" s="47" t="s">
        <v>298</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299</v>
      </c>
      <c r="M16" s="47" t="s">
        <v>300</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301</v>
      </c>
      <c r="M17" s="47" t="s">
        <v>302</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303</v>
      </c>
      <c r="M18" s="47" t="s">
        <v>304</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305</v>
      </c>
      <c r="M19" s="47" t="s">
        <v>306</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307</v>
      </c>
      <c r="M20" s="47" t="s">
        <v>308</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309</v>
      </c>
      <c r="M21" s="47" t="s">
        <v>310</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311</v>
      </c>
      <c r="M22" s="47" t="s">
        <v>312</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313</v>
      </c>
      <c r="M23" s="47" t="s">
        <v>314</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315</v>
      </c>
      <c r="M24" s="47" t="s">
        <v>316</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317</v>
      </c>
      <c r="M25" s="47" t="s">
        <v>318</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319</v>
      </c>
      <c r="M26" s="47" t="s">
        <v>320</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321</v>
      </c>
      <c r="M27" s="47" t="s">
        <v>322</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323</v>
      </c>
      <c r="M28" s="47" t="s">
        <v>324</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325</v>
      </c>
      <c r="M29" s="47" t="s">
        <v>326</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327</v>
      </c>
      <c r="M30" s="47" t="s">
        <v>328</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329</v>
      </c>
      <c r="M31" s="47" t="s">
        <v>330</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331</v>
      </c>
      <c r="M32" s="47" t="s">
        <v>332</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333</v>
      </c>
      <c r="M33" s="47" t="s">
        <v>334</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335</v>
      </c>
      <c r="M34" s="47" t="s">
        <v>336</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337</v>
      </c>
      <c r="M35" s="47" t="s">
        <v>338</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339</v>
      </c>
      <c r="M36" s="47" t="s">
        <v>340</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341</v>
      </c>
      <c r="M37" s="47" t="s">
        <v>342</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343</v>
      </c>
      <c r="M38" s="47" t="s">
        <v>344</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345</v>
      </c>
      <c r="M39" s="47" t="s">
        <v>346</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347</v>
      </c>
      <c r="M40" s="47" t="s">
        <v>348</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349</v>
      </c>
      <c r="M41" s="47" t="s">
        <v>350</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351</v>
      </c>
      <c r="M42" s="47" t="s">
        <v>352</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353</v>
      </c>
      <c r="M43" s="47" t="s">
        <v>354</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355</v>
      </c>
      <c r="M44" s="47" t="s">
        <v>356</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357</v>
      </c>
      <c r="M45" s="47" t="s">
        <v>358</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359</v>
      </c>
      <c r="M46" s="47" t="s">
        <v>360</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361</v>
      </c>
      <c r="M47" s="47" t="s">
        <v>362</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363</v>
      </c>
      <c r="M48" s="47" t="s">
        <v>364</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365</v>
      </c>
      <c r="M49" s="47" t="s">
        <v>366</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367</v>
      </c>
      <c r="M50" s="47" t="s">
        <v>368</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369</v>
      </c>
      <c r="M51" s="47" t="s">
        <v>370</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371</v>
      </c>
      <c r="M52" s="47" t="s">
        <v>372</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373</v>
      </c>
      <c r="M53" s="47" t="s">
        <v>374</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375</v>
      </c>
      <c r="M54" s="47" t="s">
        <v>376</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377</v>
      </c>
      <c r="M55" s="47" t="s">
        <v>378</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379</v>
      </c>
      <c r="M56" s="47" t="s">
        <v>380</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381</v>
      </c>
      <c r="M57" s="47" t="s">
        <v>382</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383</v>
      </c>
      <c r="M58" s="47" t="s">
        <v>384</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385</v>
      </c>
      <c r="M59" s="47" t="s">
        <v>386</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387</v>
      </c>
      <c r="M60" s="47" t="s">
        <v>388</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389</v>
      </c>
      <c r="M61" s="47" t="s">
        <v>390</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391</v>
      </c>
      <c r="M62" s="47" t="s">
        <v>392</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393</v>
      </c>
      <c r="M63" s="47" t="s">
        <v>394</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395</v>
      </c>
      <c r="M64" s="47" t="s">
        <v>396</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397</v>
      </c>
      <c r="M65" s="47" t="s">
        <v>398</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399</v>
      </c>
      <c r="M66" s="47" t="s">
        <v>400</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401</v>
      </c>
      <c r="M67" s="47" t="s">
        <v>402</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403</v>
      </c>
      <c r="M68" s="47" t="s">
        <v>404</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405</v>
      </c>
      <c r="M69" s="47" t="s">
        <v>406</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407</v>
      </c>
      <c r="M70" s="47" t="s">
        <v>408</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409</v>
      </c>
      <c r="M71" s="47" t="s">
        <v>410</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411</v>
      </c>
      <c r="M72" s="47" t="s">
        <v>412</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413</v>
      </c>
      <c r="M73" s="47" t="s">
        <v>414</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415</v>
      </c>
      <c r="M74" s="47" t="s">
        <v>416</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417</v>
      </c>
      <c r="M75" s="47" t="s">
        <v>418</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419</v>
      </c>
      <c r="M76" s="47" t="s">
        <v>420</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421</v>
      </c>
      <c r="M77" s="47" t="s">
        <v>422</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423</v>
      </c>
      <c r="M78" s="47" t="s">
        <v>424</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425</v>
      </c>
      <c r="M79" s="47" t="s">
        <v>426</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427</v>
      </c>
      <c r="M80" s="47" t="s">
        <v>428</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429</v>
      </c>
      <c r="M81" s="47" t="s">
        <v>430</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431</v>
      </c>
      <c r="M82" s="47" t="s">
        <v>432</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433</v>
      </c>
      <c r="M83" s="47" t="s">
        <v>434</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435</v>
      </c>
      <c r="M84" s="47" t="s">
        <v>436</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437</v>
      </c>
      <c r="M85" s="47" t="s">
        <v>438</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439</v>
      </c>
      <c r="M86" s="47" t="s">
        <v>440</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441</v>
      </c>
      <c r="M87" s="47" t="s">
        <v>442</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443</v>
      </c>
      <c r="M88" s="47" t="s">
        <v>444</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445</v>
      </c>
      <c r="M89" s="47" t="s">
        <v>446</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447</v>
      </c>
      <c r="M90" s="47" t="s">
        <v>448</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449</v>
      </c>
      <c r="M91" s="47" t="s">
        <v>450</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451</v>
      </c>
      <c r="M92" s="47" t="s">
        <v>452</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453</v>
      </c>
      <c r="M93" s="47" t="s">
        <v>454</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455</v>
      </c>
      <c r="M94" s="47" t="s">
        <v>456</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457</v>
      </c>
      <c r="M95" s="47" t="s">
        <v>458</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459</v>
      </c>
      <c r="M96" s="47" t="s">
        <v>460</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461</v>
      </c>
      <c r="M97" s="47" t="s">
        <v>462</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463</v>
      </c>
      <c r="M98" s="47" t="s">
        <v>464</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465</v>
      </c>
      <c r="M99" s="47" t="s">
        <v>466</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467</v>
      </c>
      <c r="M100" s="47" t="s">
        <v>468</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469</v>
      </c>
      <c r="M101" s="47" t="s">
        <v>470</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471</v>
      </c>
      <c r="M102" s="47" t="s">
        <v>472</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473</v>
      </c>
      <c r="M103" s="47" t="s">
        <v>474</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475</v>
      </c>
      <c r="M104" s="47" t="s">
        <v>476</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477</v>
      </c>
      <c r="M105" s="47" t="s">
        <v>478</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479</v>
      </c>
      <c r="M106" s="47" t="s">
        <v>480</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481</v>
      </c>
      <c r="M107" s="47" t="s">
        <v>482</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483</v>
      </c>
      <c r="M108" s="47" t="s">
        <v>484</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485</v>
      </c>
      <c r="M109" s="47" t="s">
        <v>486</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487</v>
      </c>
      <c r="M110" s="47" t="s">
        <v>488</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489</v>
      </c>
      <c r="M111" s="47" t="s">
        <v>490</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491</v>
      </c>
      <c r="M112" s="47" t="s">
        <v>492</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493</v>
      </c>
      <c r="M113" s="47" t="s">
        <v>494</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495</v>
      </c>
      <c r="M114" s="47" t="s">
        <v>496</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497</v>
      </c>
      <c r="M115" s="47" t="s">
        <v>498</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499</v>
      </c>
      <c r="M116" s="47" t="s">
        <v>500</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501</v>
      </c>
      <c r="M117" s="47" t="s">
        <v>502</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503</v>
      </c>
      <c r="M118" s="47" t="s">
        <v>504</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505</v>
      </c>
      <c r="M119" s="47" t="s">
        <v>506</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507</v>
      </c>
      <c r="M120" s="47" t="s">
        <v>508</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509</v>
      </c>
      <c r="M121" s="47" t="s">
        <v>510</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511</v>
      </c>
      <c r="M122" s="47" t="s">
        <v>512</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513</v>
      </c>
      <c r="M123" s="47" t="s">
        <v>514</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515</v>
      </c>
      <c r="M124" s="47" t="s">
        <v>516</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517</v>
      </c>
      <c r="M125" s="47" t="s">
        <v>518</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519</v>
      </c>
      <c r="M126" s="47" t="s">
        <v>520</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521</v>
      </c>
      <c r="M127" s="47" t="s">
        <v>522</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523</v>
      </c>
      <c r="M128" s="47" t="s">
        <v>524</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525</v>
      </c>
      <c r="M129" s="47" t="s">
        <v>526</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527</v>
      </c>
      <c r="M130" s="47" t="s">
        <v>528</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529</v>
      </c>
      <c r="M131" s="47" t="s">
        <v>530</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531</v>
      </c>
      <c r="M132" s="47" t="s">
        <v>532</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533</v>
      </c>
      <c r="M133" s="47" t="s">
        <v>534</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535</v>
      </c>
      <c r="M134" s="47" t="s">
        <v>536</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537</v>
      </c>
      <c r="M135" s="47" t="s">
        <v>538</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539</v>
      </c>
      <c r="M136" s="47" t="s">
        <v>540</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541</v>
      </c>
      <c r="M137" s="47" t="s">
        <v>542</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543</v>
      </c>
      <c r="M138" s="47" t="s">
        <v>544</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545</v>
      </c>
      <c r="M139" s="47" t="s">
        <v>546</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547</v>
      </c>
      <c r="M140" s="47" t="s">
        <v>548</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549</v>
      </c>
      <c r="M141" s="47" t="s">
        <v>550</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551</v>
      </c>
      <c r="M142" s="47" t="s">
        <v>552</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553</v>
      </c>
      <c r="M143" s="47" t="s">
        <v>554</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555</v>
      </c>
      <c r="M144" s="47" t="s">
        <v>556</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557</v>
      </c>
      <c r="M145" s="47" t="s">
        <v>558</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559</v>
      </c>
      <c r="M146" s="47" t="s">
        <v>560</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561</v>
      </c>
      <c r="M147" s="47" t="s">
        <v>562</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563</v>
      </c>
      <c r="M148" s="47" t="s">
        <v>564</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565</v>
      </c>
      <c r="M149" s="47" t="s">
        <v>566</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567</v>
      </c>
      <c r="M150" s="47" t="s">
        <v>568</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569</v>
      </c>
      <c r="M151" s="47" t="s">
        <v>570</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571</v>
      </c>
      <c r="M152" s="47" t="s">
        <v>572</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573</v>
      </c>
      <c r="M153" s="47" t="s">
        <v>574</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575</v>
      </c>
      <c r="M154" s="47" t="s">
        <v>576</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577</v>
      </c>
      <c r="M155" s="47" t="s">
        <v>578</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579</v>
      </c>
      <c r="M156" s="47" t="s">
        <v>580</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581</v>
      </c>
      <c r="M157" s="47" t="s">
        <v>582</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583</v>
      </c>
      <c r="M158" s="47" t="s">
        <v>584</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585</v>
      </c>
      <c r="M159" s="47" t="s">
        <v>586</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587</v>
      </c>
      <c r="M160" s="47" t="s">
        <v>588</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589</v>
      </c>
      <c r="M161" s="47" t="s">
        <v>590</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591</v>
      </c>
      <c r="M162" s="47" t="s">
        <v>592</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593</v>
      </c>
      <c r="M163" s="47" t="s">
        <v>594</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595</v>
      </c>
      <c r="M164" s="47" t="s">
        <v>596</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597</v>
      </c>
      <c r="M165" s="47" t="s">
        <v>598</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599</v>
      </c>
      <c r="M166" s="47" t="s">
        <v>600</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601</v>
      </c>
      <c r="M167" s="47" t="s">
        <v>602</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603</v>
      </c>
      <c r="M168" s="47" t="s">
        <v>604</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605</v>
      </c>
      <c r="M169" s="47" t="s">
        <v>606</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607</v>
      </c>
      <c r="M170" s="47" t="s">
        <v>608</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609</v>
      </c>
      <c r="M171" s="47" t="s">
        <v>610</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611</v>
      </c>
      <c r="M172" s="47" t="s">
        <v>612</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613</v>
      </c>
      <c r="M173" s="47" t="s">
        <v>614</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615</v>
      </c>
      <c r="M174" s="47" t="s">
        <v>616</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617</v>
      </c>
      <c r="M175" s="47" t="s">
        <v>618</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619</v>
      </c>
      <c r="M176" s="47" t="s">
        <v>620</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621</v>
      </c>
      <c r="M177" s="47" t="s">
        <v>622</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623</v>
      </c>
      <c r="M178" s="47" t="s">
        <v>624</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625</v>
      </c>
      <c r="M179" s="47" t="s">
        <v>626</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627</v>
      </c>
      <c r="M180" s="47" t="s">
        <v>628</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629</v>
      </c>
      <c r="M181" s="47" t="s">
        <v>630</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631</v>
      </c>
      <c r="M182" s="47" t="s">
        <v>632</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633</v>
      </c>
      <c r="M183" s="47" t="s">
        <v>634</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635</v>
      </c>
      <c r="M184" s="47" t="s">
        <v>636</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637</v>
      </c>
      <c r="M185" s="47" t="s">
        <v>638</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639</v>
      </c>
      <c r="M186" s="47" t="s">
        <v>640</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641</v>
      </c>
      <c r="M187" s="47" t="s">
        <v>642</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643</v>
      </c>
      <c r="M188" s="47" t="s">
        <v>644</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645</v>
      </c>
      <c r="M189" s="47" t="s">
        <v>646</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647</v>
      </c>
      <c r="M190" s="47" t="s">
        <v>648</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649</v>
      </c>
      <c r="M191" s="47" t="s">
        <v>650</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651</v>
      </c>
      <c r="M192" s="47" t="s">
        <v>652</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653</v>
      </c>
      <c r="M193" s="47" t="s">
        <v>654</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655</v>
      </c>
      <c r="M194" s="47" t="s">
        <v>656</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657</v>
      </c>
      <c r="M195" s="47" t="s">
        <v>658</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659</v>
      </c>
      <c r="M196" s="47" t="s">
        <v>660</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661</v>
      </c>
      <c r="M197" s="47" t="s">
        <v>662</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663</v>
      </c>
      <c r="M198" s="47" t="s">
        <v>664</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665</v>
      </c>
      <c r="M199" s="47" t="s">
        <v>666</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667</v>
      </c>
      <c r="M200" s="47" t="s">
        <v>668</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669</v>
      </c>
      <c r="M201" s="47" t="s">
        <v>670</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671</v>
      </c>
      <c r="M202" s="47" t="s">
        <v>672</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673</v>
      </c>
      <c r="M203" s="47" t="s">
        <v>674</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675</v>
      </c>
      <c r="M204" s="47" t="s">
        <v>676</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677</v>
      </c>
      <c r="M205" s="47" t="s">
        <v>678</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679</v>
      </c>
      <c r="M206" s="47" t="s">
        <v>680</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681</v>
      </c>
      <c r="M207" s="47" t="s">
        <v>682</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683</v>
      </c>
      <c r="M208" s="47" t="s">
        <v>684</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685</v>
      </c>
      <c r="M209" s="47" t="s">
        <v>686</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687</v>
      </c>
      <c r="M210" s="47" t="s">
        <v>688</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689</v>
      </c>
      <c r="M211" s="47" t="s">
        <v>690</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691</v>
      </c>
      <c r="M212" s="47" t="s">
        <v>692</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693</v>
      </c>
      <c r="M213" s="47" t="s">
        <v>694</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695</v>
      </c>
      <c r="M214" s="47" t="s">
        <v>696</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697</v>
      </c>
      <c r="M215" s="47" t="s">
        <v>698</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699</v>
      </c>
      <c r="M216" s="47" t="s">
        <v>700</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701</v>
      </c>
      <c r="M217" s="47" t="s">
        <v>702</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703</v>
      </c>
      <c r="M218" s="47" t="s">
        <v>704</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705</v>
      </c>
      <c r="M219" s="61" t="s">
        <v>706</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707</v>
      </c>
      <c r="M220" s="47" t="s">
        <v>708</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709</v>
      </c>
      <c r="M221" s="47" t="s">
        <v>710</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711</v>
      </c>
      <c r="M222" s="47" t="s">
        <v>712</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713</v>
      </c>
      <c r="M223" s="47" t="s">
        <v>714</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715</v>
      </c>
      <c r="M224" s="47" t="s">
        <v>716</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717</v>
      </c>
      <c r="M225" s="47" t="s">
        <v>718</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719</v>
      </c>
      <c r="M226" s="47" t="s">
        <v>720</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721</v>
      </c>
      <c r="M227" s="47" t="s">
        <v>722</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723</v>
      </c>
      <c r="M228" s="47" t="s">
        <v>724</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725</v>
      </c>
      <c r="M229" s="47" t="s">
        <v>726</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727</v>
      </c>
      <c r="M230" s="47" t="s">
        <v>728</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729</v>
      </c>
      <c r="M231" s="47" t="s">
        <v>730</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731</v>
      </c>
      <c r="M232" s="47" t="s">
        <v>732</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733</v>
      </c>
      <c r="M233" s="47" t="s">
        <v>734</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735</v>
      </c>
      <c r="M234" s="47" t="s">
        <v>736</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737</v>
      </c>
      <c r="M235" s="47" t="s">
        <v>738</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739</v>
      </c>
      <c r="M236" s="47" t="s">
        <v>740</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223</v>
      </c>
      <c r="M237" s="47" t="s">
        <v>741</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742</v>
      </c>
      <c r="M238" s="47" t="s">
        <v>743</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744</v>
      </c>
      <c r="M239" s="47" t="s">
        <v>745</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746</v>
      </c>
      <c r="M240" s="47" t="s">
        <v>747</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748</v>
      </c>
      <c r="M241" s="47" t="s">
        <v>749</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750</v>
      </c>
      <c r="M242" s="47" t="s">
        <v>751</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752</v>
      </c>
      <c r="M243" s="47" t="s">
        <v>753</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754</v>
      </c>
      <c r="M244" s="47" t="s">
        <v>755</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756</v>
      </c>
      <c r="M245" s="47" t="s">
        <v>757</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758</v>
      </c>
      <c r="M246" s="47" t="s">
        <v>759</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760</v>
      </c>
      <c r="M247" s="47" t="s">
        <v>761</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762</v>
      </c>
      <c r="M248" s="47" t="s">
        <v>763</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764</v>
      </c>
      <c r="M249" s="47" t="s">
        <v>765</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766</v>
      </c>
      <c r="M250" s="47" t="s">
        <v>767</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768</v>
      </c>
      <c r="C1" s="62" t="s">
        <v>769</v>
      </c>
      <c r="D1" s="62" t="s">
        <v>770</v>
      </c>
      <c r="E1" s="62" t="s">
        <v>222</v>
      </c>
      <c r="F1" s="63" t="s">
        <v>77</v>
      </c>
      <c r="G1" s="63" t="s">
        <v>771</v>
      </c>
      <c r="H1" s="63" t="s">
        <v>138</v>
      </c>
      <c r="I1" s="63" t="s">
        <v>168</v>
      </c>
      <c r="J1" s="63" t="s">
        <v>173</v>
      </c>
      <c r="K1" s="63" t="s">
        <v>772</v>
      </c>
      <c r="L1" s="63" t="s">
        <v>178</v>
      </c>
      <c r="M1" s="63" t="s">
        <v>773</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227</v>
      </c>
      <c r="C2" s="67" t="s">
        <v>774</v>
      </c>
      <c r="D2" s="67" t="s">
        <v>63</v>
      </c>
      <c r="E2" s="67" t="s">
        <v>73</v>
      </c>
      <c r="F2" s="67" t="s">
        <v>775</v>
      </c>
      <c r="G2" s="67" t="s">
        <v>776</v>
      </c>
      <c r="H2" s="67" t="s">
        <v>140</v>
      </c>
      <c r="I2" s="67" t="s">
        <v>170</v>
      </c>
      <c r="J2" s="67" t="s">
        <v>232</v>
      </c>
      <c r="K2" s="67" t="s">
        <v>175</v>
      </c>
      <c r="L2" s="67" t="s">
        <v>180</v>
      </c>
      <c r="M2" s="67" t="s">
        <v>777</v>
      </c>
      <c r="N2" s="67"/>
      <c r="O2" s="67" t="s">
        <v>86</v>
      </c>
      <c r="P2" s="66" t="s">
        <v>778</v>
      </c>
      <c r="Q2" s="65"/>
      <c r="R2" s="65"/>
      <c r="S2" s="66"/>
      <c r="T2" s="65"/>
      <c r="U2" s="65"/>
      <c r="V2" s="66"/>
      <c r="W2" s="66"/>
      <c r="X2" s="66"/>
      <c r="Y2" s="65"/>
      <c r="Z2" s="66"/>
    </row>
    <row r="3" customFormat="false" ht="14.25" hidden="false" customHeight="true" outlineLevel="0" collapsed="false">
      <c r="A3" s="67" t="s">
        <v>10</v>
      </c>
      <c r="B3" s="67" t="s">
        <v>779</v>
      </c>
      <c r="C3" s="67" t="s">
        <v>780</v>
      </c>
      <c r="D3" s="67" t="s">
        <v>64</v>
      </c>
      <c r="E3" s="67" t="s">
        <v>74</v>
      </c>
      <c r="F3" s="67" t="s">
        <v>781</v>
      </c>
      <c r="G3" s="67" t="s">
        <v>782</v>
      </c>
      <c r="H3" s="67" t="s">
        <v>141</v>
      </c>
      <c r="I3" s="67" t="s">
        <v>171</v>
      </c>
      <c r="J3" s="67" t="s">
        <v>783</v>
      </c>
      <c r="K3" s="67" t="s">
        <v>176</v>
      </c>
      <c r="L3" s="67" t="s">
        <v>181</v>
      </c>
      <c r="M3" s="67" t="s">
        <v>784</v>
      </c>
      <c r="N3" s="67"/>
      <c r="O3" s="67" t="s">
        <v>87</v>
      </c>
      <c r="P3" s="66" t="s">
        <v>230</v>
      </c>
      <c r="Q3" s="66"/>
      <c r="R3" s="66"/>
      <c r="S3" s="66"/>
      <c r="T3" s="66"/>
      <c r="U3" s="66"/>
      <c r="V3" s="66"/>
      <c r="W3" s="66"/>
      <c r="X3" s="66"/>
      <c r="Y3" s="66"/>
      <c r="Z3" s="66"/>
    </row>
    <row r="4" customFormat="false" ht="14.25" hidden="false" customHeight="true" outlineLevel="0" collapsed="false">
      <c r="A4" s="67"/>
      <c r="B4" s="67" t="s">
        <v>785</v>
      </c>
      <c r="C4" s="67" t="s">
        <v>786</v>
      </c>
      <c r="D4" s="67" t="s">
        <v>65</v>
      </c>
      <c r="E4" s="67"/>
      <c r="F4" s="67" t="s">
        <v>228</v>
      </c>
      <c r="G4" s="67" t="s">
        <v>787</v>
      </c>
      <c r="H4" s="67" t="s">
        <v>788</v>
      </c>
      <c r="I4" s="67"/>
      <c r="J4" s="67" t="s">
        <v>789</v>
      </c>
      <c r="K4" s="67" t="s">
        <v>177</v>
      </c>
      <c r="L4" s="67" t="s">
        <v>182</v>
      </c>
      <c r="M4" s="67" t="s">
        <v>790</v>
      </c>
      <c r="N4" s="67"/>
      <c r="O4" s="67" t="s">
        <v>88</v>
      </c>
      <c r="P4" s="66" t="s">
        <v>791</v>
      </c>
      <c r="Q4" s="66"/>
      <c r="R4" s="66"/>
      <c r="S4" s="66"/>
      <c r="T4" s="66"/>
      <c r="U4" s="66"/>
      <c r="V4" s="66"/>
      <c r="W4" s="66"/>
      <c r="X4" s="66"/>
      <c r="Y4" s="66"/>
      <c r="Z4" s="66"/>
    </row>
    <row r="5" customFormat="false" ht="14.25" hidden="false" customHeight="true" outlineLevel="0" collapsed="false">
      <c r="A5" s="67"/>
      <c r="B5" s="67" t="s">
        <v>792</v>
      </c>
      <c r="C5" s="67" t="s">
        <v>793</v>
      </c>
      <c r="D5" s="67" t="s">
        <v>794</v>
      </c>
      <c r="E5" s="67"/>
      <c r="F5" s="67" t="s">
        <v>795</v>
      </c>
      <c r="G5" s="67" t="s">
        <v>796</v>
      </c>
      <c r="H5" s="67" t="s">
        <v>797</v>
      </c>
      <c r="I5" s="67"/>
      <c r="J5" s="67" t="s">
        <v>798</v>
      </c>
      <c r="K5" s="67" t="s">
        <v>799</v>
      </c>
      <c r="L5" s="67" t="s">
        <v>183</v>
      </c>
      <c r="M5" s="67" t="s">
        <v>800</v>
      </c>
      <c r="N5" s="67"/>
      <c r="O5" s="66"/>
      <c r="P5" s="66"/>
      <c r="Q5" s="66"/>
      <c r="R5" s="66"/>
      <c r="S5" s="66"/>
      <c r="T5" s="66"/>
      <c r="U5" s="66"/>
      <c r="V5" s="66"/>
      <c r="W5" s="66"/>
      <c r="X5" s="66"/>
      <c r="Y5" s="66"/>
      <c r="Z5" s="66"/>
    </row>
    <row r="6" customFormat="false" ht="14.25" hidden="false" customHeight="true" outlineLevel="0" collapsed="false">
      <c r="A6" s="67"/>
      <c r="B6" s="67" t="s">
        <v>801</v>
      </c>
      <c r="C6" s="67" t="s">
        <v>802</v>
      </c>
      <c r="D6" s="67"/>
      <c r="E6" s="67"/>
      <c r="F6" s="67" t="s">
        <v>803</v>
      </c>
      <c r="G6" s="67" t="s">
        <v>804</v>
      </c>
      <c r="H6" s="67" t="s">
        <v>805</v>
      </c>
      <c r="I6" s="67"/>
      <c r="J6" s="67" t="s">
        <v>806</v>
      </c>
      <c r="K6" s="67" t="s">
        <v>807</v>
      </c>
      <c r="L6" s="67" t="s">
        <v>184</v>
      </c>
      <c r="M6" s="67" t="s">
        <v>808</v>
      </c>
      <c r="N6" s="67"/>
      <c r="O6" s="66"/>
      <c r="P6" s="66"/>
      <c r="Q6" s="66"/>
      <c r="R6" s="66"/>
      <c r="S6" s="66"/>
      <c r="T6" s="66"/>
      <c r="U6" s="66"/>
      <c r="V6" s="66"/>
      <c r="W6" s="66"/>
      <c r="X6" s="66"/>
      <c r="Y6" s="66"/>
      <c r="Z6" s="66"/>
    </row>
    <row r="7" customFormat="false" ht="14.25" hidden="false" customHeight="true" outlineLevel="0" collapsed="false">
      <c r="A7" s="67"/>
      <c r="B7" s="67" t="s">
        <v>809</v>
      </c>
      <c r="C7" s="67" t="s">
        <v>810</v>
      </c>
      <c r="D7" s="67"/>
      <c r="E7" s="67"/>
      <c r="F7" s="67"/>
      <c r="G7" s="67"/>
      <c r="H7" s="67"/>
      <c r="I7" s="67"/>
      <c r="J7" s="67"/>
      <c r="K7" s="67"/>
      <c r="L7" s="67" t="s">
        <v>185</v>
      </c>
      <c r="M7" s="67" t="s">
        <v>811</v>
      </c>
      <c r="N7" s="67"/>
      <c r="O7" s="66"/>
      <c r="P7" s="66"/>
      <c r="Q7" s="66"/>
      <c r="R7" s="66"/>
      <c r="S7" s="66"/>
      <c r="T7" s="66"/>
      <c r="U7" s="66"/>
      <c r="V7" s="66"/>
      <c r="W7" s="66"/>
      <c r="X7" s="66"/>
      <c r="Y7" s="66"/>
      <c r="Z7" s="66"/>
    </row>
    <row r="8" customFormat="false" ht="14.25" hidden="false" customHeight="true" outlineLevel="0" collapsed="false">
      <c r="A8" s="67"/>
      <c r="B8" s="67" t="s">
        <v>812</v>
      </c>
      <c r="C8" s="67" t="s">
        <v>813</v>
      </c>
      <c r="D8" s="67"/>
      <c r="E8" s="67"/>
      <c r="F8" s="67"/>
      <c r="G8" s="67"/>
      <c r="H8" s="67"/>
      <c r="I8" s="67"/>
      <c r="J8" s="67"/>
      <c r="K8" s="67"/>
      <c r="L8" s="67" t="s">
        <v>186</v>
      </c>
      <c r="M8" s="67" t="s">
        <v>814</v>
      </c>
      <c r="N8" s="67"/>
      <c r="O8" s="66"/>
      <c r="P8" s="66"/>
      <c r="Q8" s="66"/>
      <c r="R8" s="66"/>
      <c r="S8" s="66"/>
      <c r="T8" s="66"/>
      <c r="U8" s="66"/>
      <c r="V8" s="66"/>
      <c r="W8" s="66"/>
      <c r="X8" s="66"/>
      <c r="Y8" s="66"/>
      <c r="Z8" s="66"/>
    </row>
    <row r="9" customFormat="false" ht="14.25" hidden="false" customHeight="true" outlineLevel="0" collapsed="false">
      <c r="A9" s="67"/>
      <c r="B9" s="67" t="s">
        <v>795</v>
      </c>
      <c r="C9" s="67" t="s">
        <v>815</v>
      </c>
      <c r="D9" s="67"/>
      <c r="E9" s="67"/>
      <c r="F9" s="67"/>
      <c r="G9" s="67"/>
      <c r="H9" s="67"/>
      <c r="I9" s="67"/>
      <c r="J9" s="67"/>
      <c r="K9" s="67"/>
      <c r="L9" s="67" t="s">
        <v>816</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2025-07-29T14:54:08Z</dcterms:modified>
  <cp:revision>13</cp:revision>
  <dc:subject/>
  <dc:title/>
</cp:coreProperties>
</file>